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se Overview" sheetId="1" state="visible" r:id="rId3"/>
    <sheet name="Execution Plan" sheetId="2" state="visible" r:id="rId4"/>
  </sheets>
  <definedNames>
    <definedName function="false" hidden="true" localSheetId="1" name="_xlnm._FilterDatabase" vbProcedure="false">'Execution Plan'!$A$1:$G$48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<sst xmlns="http://schemas.openxmlformats.org/spreadsheetml/2006/main" count="355" uniqueCount="183">
  <si>
    <t xml:space="preserve">Phase</t>
  </si>
  <si>
    <t xml:space="preserve">Goal</t>
  </si>
  <si>
    <t xml:space="preserve">Steps</t>
  </si>
  <si>
    <t xml:space="preserve">Done</t>
  </si>
  <si>
    <t xml:space="preserve">% complete</t>
  </si>
  <si>
    <t xml:space="preserve">1 Foundation</t>
  </si>
  <si>
    <t xml:space="preserve">Repo, environments, auth, profiles, RLS, design system, seed catalogue</t>
  </si>
  <si>
    <t xml:space="preserve">2 Library &amp; Reviews</t>
  </si>
  <si>
    <t xml:space="preserve">Search, book pages, shelves, reviews, reactions, reports</t>
  </si>
  <si>
    <t xml:space="preserve">3 Profiles, Avatars, Journal</t>
  </si>
  <si>
    <t xml:space="preserve">Profile + privacy, layered avatars, focus timer, journal and stats</t>
  </si>
  <si>
    <t xml:space="preserve">4 Crossword</t>
  </si>
  <si>
    <t xml:space="preserve">Validated daily puzzle, accessible grid, server-side completion, streaks</t>
  </si>
  <si>
    <t xml:space="preserve">5 Café</t>
  </si>
  <si>
    <t xml:space="preserve">Illustrated room, seat claims, realtime presence, audio, focus sessions</t>
  </si>
  <si>
    <t xml:space="preserve">6 QA &amp; Release</t>
  </si>
  <si>
    <t xml:space="preserve">Security/concurrency tests, e2e, accessibility, deploy, backups</t>
  </si>
  <si>
    <t xml:space="preserve">Total</t>
  </si>
  <si>
    <t xml:space="preserve">Stack: Next.js 16 + TypeScript (App Router), Supabase (Postgres, Auth, Realtime, Storage, Edge Functions). Update Status in 'Execution Plan'; this sheet recalculates.</t>
  </si>
  <si>
    <t xml:space="preserve">Step</t>
  </si>
  <si>
    <t xml:space="preserve">Task</t>
  </si>
  <si>
    <t xml:space="preserve">Done when</t>
  </si>
  <si>
    <t xml:space="preserve">Depends on</t>
  </si>
  <si>
    <t xml:space="preserve">Size</t>
  </si>
  <si>
    <t xml:space="preserve">Status</t>
  </si>
  <si>
    <t xml:space="preserve">1.1</t>
  </si>
  <si>
    <t xml:space="preserve">Create repo; scaffold Next.js 16 + TypeScript (App Router) + Tailwind; ESLint, Prettier, Git</t>
  </si>
  <si>
    <t xml:space="preserve">App runs locally; lint and typecheck pass</t>
  </si>
  <si>
    <t xml:space="preserve">S</t>
  </si>
  <si>
    <t xml:space="preserve">Not started</t>
  </si>
  <si>
    <t xml:space="preserve">1.2</t>
  </si>
  <si>
    <t xml:space="preserve">Create Supabase dev and prod projects; install Supabase CLI; set up local stack and .env files</t>
  </si>
  <si>
    <t xml:space="preserve">supabase start works; secrets documented; no service-role key in client code</t>
  </si>
  <si>
    <t xml:space="preserve">1.3</t>
  </si>
  <si>
    <t xml:space="preserve">Add @supabase/ssr client helpers (browser, server) and request-interception layer (proxy) for session refresh</t>
  </si>
  <si>
    <t xml:space="preserve">Session persists across reloads; protected route redirects with safe return path</t>
  </si>
  <si>
    <t xml:space="preserve">1.1, 1.2</t>
  </si>
  <si>
    <t xml:space="preserve">M</t>
  </si>
  <si>
    <t xml:space="preserve">1.4</t>
  </si>
  <si>
    <t xml:space="preserve">Migration: profiles table (case-insensitive unique username), trigger to create profile on signup, RLS policies</t>
  </si>
  <si>
    <t xml:space="preserve">New signup creates one profile; user can edit only own row</t>
  </si>
  <si>
    <t xml:space="preserve">1.5</t>
  </si>
  <si>
    <t xml:space="preserve">Auth pages: /signup, /login, /forgot-password, logout; unique username validation</t>
  </si>
  <si>
    <t xml:space="preserve">All four flows work end to end with accessible errors</t>
  </si>
  <si>
    <t xml:space="preserve">1.3, 1.4</t>
  </si>
  <si>
    <t xml:space="preserve">1.6</t>
  </si>
  <si>
    <t xml:space="preserve">Design tokens (palette, fonts), base components, desktop sidebar and mobile bottom nav shell</t>
  </si>
  <si>
    <t xml:space="preserve">Shell renders on desktop and mobile; active route shown; reduced-motion respected</t>
  </si>
  <si>
    <t xml:space="preserve">1.7</t>
  </si>
  <si>
    <t xml:space="preserve">Migration: books, genres, book_genres; seed curated catalogue; public-read RLS</t>
  </si>
  <si>
    <t xml:space="preserve">Seed loads cleanly; guests can read books, nobody can write from client</t>
  </si>
  <si>
    <t xml:space="preserve">1.8</t>
  </si>
  <si>
    <t xml:space="preserve">RLS test harness (two test users + guest) and CI run</t>
  </si>
  <si>
    <t xml:space="preserve">Tests fail when a policy is removed</t>
  </si>
  <si>
    <t xml:space="preserve">1.4, 1.7</t>
  </si>
  <si>
    <t xml:space="preserve">2.1</t>
  </si>
  <si>
    <t xml:space="preserve">Library page: search by title/author, genre filter, sort, pagination; indexes</t>
  </si>
  <si>
    <t xml:space="preserve">Search is fast; pagination works; empty and error states shown</t>
  </si>
  <si>
    <t xml:space="preserve">2.2</t>
  </si>
  <si>
    <t xml:space="preserve">Book detail page (server-rendered): metadata, tags, related books, cover optimisation</t>
  </si>
  <si>
    <t xml:space="preserve">Deep link works after refresh; metadata/OG tags set</t>
  </si>
  <si>
    <t xml:space="preserve">2.3</t>
  </si>
  <si>
    <t xml:space="preserve">Migration: shelves, shelf_books with uniqueness; RLS; default statuses</t>
  </si>
  <si>
    <t xml:space="preserve">User cannot read another user's private shelves (test passes)</t>
  </si>
  <si>
    <t xml:space="preserve">2.4</t>
  </si>
  <si>
    <t xml:space="preserve">Shelves UI: add/remove book, move between statuses, custom lists, currently-reading card</t>
  </si>
  <si>
    <t xml:space="preserve">Changes persist across devices; no duplicate entries</t>
  </si>
  <si>
    <t xml:space="preserve">2.5</t>
  </si>
  <si>
    <t xml:space="preserve">Migration: reviews (rating, headline, body, quote, tags, spoiler, status); RLS; length constraints</t>
  </si>
  <si>
    <t xml:space="preserve">Users can edit/delete only own reviews (test passes); guests blocked from writing</t>
  </si>
  <si>
    <t xml:space="preserve">2.6</t>
  </si>
  <si>
    <t xml:space="preserve">Review CRUD + draft/publish; 'The Shelf' mode; safe rendering of user content</t>
  </si>
  <si>
    <t xml:space="preserve">Create/edit/delete works; HTML is escaped</t>
  </si>
  <si>
    <t xml:space="preserve">L</t>
  </si>
  <si>
    <t xml:space="preserve">2.7</t>
  </si>
  <si>
    <t xml:space="preserve">'The Margins' mode and spoiler warning gate</t>
  </si>
  <si>
    <t xml:space="preserve">Spoiler content hidden until user reveals</t>
  </si>
  <si>
    <t xml:space="preserve">2.8</t>
  </si>
  <si>
    <t xml:space="preserve">review_reactions (unique per user/review) and aggregate rating/count from published ratings</t>
  </si>
  <si>
    <t xml:space="preserve">Duplicate reaction rejected; aggregates match real data</t>
  </si>
  <si>
    <t xml:space="preserve">2.9</t>
  </si>
  <si>
    <t xml:space="preserve">review_reports table and report UI; restricted-access RLS</t>
  </si>
  <si>
    <t xml:space="preserve">Report saved; only moderators can read reports</t>
  </si>
  <si>
    <t xml:space="preserve">3.1</t>
  </si>
  <si>
    <t xml:space="preserve">Profile edit page: bio, genres, reading goal, privacy settings</t>
  </si>
  <si>
    <t xml:space="preserve">Updates persist; email never exposed publicly</t>
  </si>
  <si>
    <t xml:space="preserve">3.2</t>
  </si>
  <si>
    <t xml:space="preserve">Public profile /profile/[username] respecting privacy for shelves, reviews, stats</t>
  </si>
  <si>
    <t xml:space="preserve">Private data never appears in public queries (test passes)</t>
  </si>
  <si>
    <t xml:space="preserve">2.4, 2.6, 3.1</t>
  </si>
  <si>
    <t xml:space="preserve">3.3</t>
  </si>
  <si>
    <t xml:space="preserve">Migration: avatar_items, user_avatar_items; store avatar config as item IDs; seed free wardrobe</t>
  </si>
  <si>
    <t xml:space="preserve">Catalogue seeded; config schema validated</t>
  </si>
  <si>
    <t xml:space="preserve">3.4</t>
  </si>
  <si>
    <t xml:space="preserve">Layered avatar renderer (consistent anchors, layer order) and editor UI</t>
  </si>
  <si>
    <t xml:space="preserve">Avatar renders identically in editor, profile and nav</t>
  </si>
  <si>
    <t xml:space="preserve">3.5</t>
  </si>
  <si>
    <t xml:space="preserve">Server-side equip validation (ownership and compatibility)</t>
  </si>
  <si>
    <t xml:space="preserve">Equipping an unowned item is rejected (test passes)</t>
  </si>
  <si>
    <t xml:space="preserve">3.6</t>
  </si>
  <si>
    <t xml:space="preserve">Migration: reading_sessions (type, start/end, duration, book, note, source); RLS</t>
  </si>
  <si>
    <t xml:space="preserve">Sessions are private to owner</t>
  </si>
  <si>
    <t xml:space="preserve">3.7</t>
  </si>
  <si>
    <t xml:space="preserve">Focus timer UI: 25/5, 50/10, custom; pause/resume/cancel/finish; interruption handling</t>
  </si>
  <si>
    <t xml:space="preserve">Closing the tab does not log the full planned time</t>
  </si>
  <si>
    <t xml:space="preserve">3.8</t>
  </si>
  <si>
    <t xml:space="preserve">Session completion function: duplicate and implausible-duration checks; manual vs timer-verified flag</t>
  </si>
  <si>
    <t xml:space="preserve">Repeated completion creates one record</t>
  </si>
  <si>
    <t xml:space="preserve">3.6, 3.7</t>
  </si>
  <si>
    <t xml:space="preserve">3.9</t>
  </si>
  <si>
    <t xml:space="preserve">/journal history, weekly/monthly totals; /settings incl. safe account deletion</t>
  </si>
  <si>
    <t xml:space="preserve">Totals computed from authorised records; deletion behaviour documented</t>
  </si>
  <si>
    <t xml:space="preserve">4.1</t>
  </si>
  <si>
    <t xml:space="preserve">Migration: crossword_puzzles, crossword_completions (unique user/puzzle); seed one validated puzzle</t>
  </si>
  <si>
    <t xml:space="preserve">Puzzle row passes grid/clue validation</t>
  </si>
  <si>
    <t xml:space="preserve">4.2</t>
  </si>
  <si>
    <t xml:space="preserve">Fetch today's puzzle without sending the solution to the client</t>
  </si>
  <si>
    <t xml:space="preserve">Network response contains no answers</t>
  </si>
  <si>
    <t xml:space="preserve">4.3</t>
  </si>
  <si>
    <t xml:space="preserve">Grid UI: keyboard and mobile input, current cell/direction, clue navigation</t>
  </si>
  <si>
    <t xml:space="preserve">Playable on desktop and mobile</t>
  </si>
  <si>
    <t xml:space="preserve">4.4</t>
  </si>
  <si>
    <t xml:space="preserve">Accessibility: cell announcements, focus indicators, error feedback</t>
  </si>
  <si>
    <t xml:space="preserve">Keyboard-only and screen-reader pass</t>
  </si>
  <si>
    <t xml:space="preserve">4.5</t>
  </si>
  <si>
    <t xml:space="preserve">Server-side completion validation (Edge Function or RPC) with one completion per user/puzzle</t>
  </si>
  <si>
    <t xml:space="preserve">Fake solutions rejected; repeated requests award once (tests pass)</t>
  </si>
  <si>
    <t xml:space="preserve">4.6</t>
  </si>
  <si>
    <t xml:space="preserve">Streak calculation with configured timezone/day boundary; define replay/catch-up rules</t>
  </si>
  <si>
    <t xml:space="preserve">Boundary cases tested around midnight</t>
  </si>
  <si>
    <t xml:space="preserve">4.7</t>
  </si>
  <si>
    <t xml:space="preserve">Completion screen revealing the book; completion history on dashboard</t>
  </si>
  <si>
    <t xml:space="preserve">Screen shows after valid completion only</t>
  </si>
  <si>
    <t xml:space="preserve">4.5, 4.6</t>
  </si>
  <si>
    <t xml:space="preserve">5.1</t>
  </si>
  <si>
    <t xml:space="preserve">Migration: cafe_rooms, cafe_seats, cafe_sessions; seed rooms and seats</t>
  </si>
  <si>
    <t xml:space="preserve">Rooms/seats defined; occupancy not stored as sole truth</t>
  </si>
  <si>
    <t xml:space="preserve">5.2</t>
  </si>
  <si>
    <t xml:space="preserve">Static illustrated 2D room UI with entrance transition (skippable)</t>
  </si>
  <si>
    <t xml:space="preserve">Four areas render; works with reduced motion</t>
  </si>
  <si>
    <t xml:space="preserve">5.3</t>
  </si>
  <si>
    <t xml:space="preserve">Seat-claim function (atomic) with release on leave</t>
  </si>
  <si>
    <t xml:space="preserve">Two simultaneous claims: exactly one wins (test passes)</t>
  </si>
  <si>
    <t xml:space="preserve">5.4</t>
  </si>
  <si>
    <t xml:space="preserve">Realtime Presence channel with authorised join and payload validation; stale presence cleanup</t>
  </si>
  <si>
    <t xml:space="preserve">Disconnected users drop out; no fake users shown</t>
  </si>
  <si>
    <t xml:space="preserve">5.2, 5.3</t>
  </si>
  <si>
    <t xml:space="preserve">5.5</t>
  </si>
  <si>
    <t xml:space="preserve">Avatar activity states (read, study, journal, break) shown in room</t>
  </si>
  <si>
    <t xml:space="preserve">State changes broadcast to others</t>
  </si>
  <si>
    <t xml:space="preserve">3.4, 5.4</t>
  </si>
  <si>
    <t xml:space="preserve">5.6</t>
  </si>
  <si>
    <t xml:space="preserve">Connect focus timer to café sessions and journal</t>
  </si>
  <si>
    <t xml:space="preserve">Completed café session appears in journal</t>
  </si>
  <si>
    <t xml:space="preserve">3.8, 5.4</t>
  </si>
  <si>
    <t xml:space="preserve">5.7</t>
  </si>
  <si>
    <t xml:space="preserve">Ambient audio: user-initiated, volume/mute, never autoplay</t>
  </si>
  <si>
    <t xml:space="preserve">No audio until user acts; mute persists in session</t>
  </si>
  <si>
    <t xml:space="preserve">5.8</t>
  </si>
  <si>
    <t xml:space="preserve">Mobile simplified café layout; optional noticeboard</t>
  </si>
  <si>
    <t xml:space="preserve">Usable at narrow widths</t>
  </si>
  <si>
    <t xml:space="preserve">6.1</t>
  </si>
  <si>
    <t xml:space="preserve">Run full RLS test list with separate accounts and guest</t>
  </si>
  <si>
    <t xml:space="preserve">All 12 PRD required tests documented/automated</t>
  </si>
  <si>
    <t xml:space="preserve">all</t>
  </si>
  <si>
    <t xml:space="preserve">6.2</t>
  </si>
  <si>
    <t xml:space="preserve">Concurrency and duplicate-request tests (seat claims, completions, reactions)</t>
  </si>
  <si>
    <t xml:space="preserve">No duplicates under parallel requests</t>
  </si>
  <si>
    <t xml:space="preserve">5.3, 4.5, 2.8</t>
  </si>
  <si>
    <t xml:space="preserve">6.3</t>
  </si>
  <si>
    <t xml:space="preserve">Playwright e2e on key flows; mobile and keyboard checks</t>
  </si>
  <si>
    <t xml:space="preserve">Core routes pass on desktop and mobile</t>
  </si>
  <si>
    <t xml:space="preserve">6.4</t>
  </si>
  <si>
    <t xml:space="preserve">Security review: secrets, input validation, rate limits on abuse-prone endpoints</t>
  </si>
  <si>
    <t xml:space="preserve">No privileged keys in client; limits in place</t>
  </si>
  <si>
    <t xml:space="preserve">6.5</t>
  </si>
  <si>
    <t xml:space="preserve">Deploy to production; separate prod credentials; domain</t>
  </si>
  <si>
    <t xml:space="preserve">Production works with prod Supabase project</t>
  </si>
  <si>
    <t xml:space="preserve">6.1-6.4</t>
  </si>
  <si>
    <t xml:space="preserve">6.6</t>
  </si>
  <si>
    <t xml:space="preserve">Backups, restore test, monitoring, setup docs and env var list</t>
  </si>
  <si>
    <t xml:space="preserve">Restore verified; README complete</t>
  </si>
  <si>
    <t xml:space="preserve">Size is a rough relative effort guide (S, M, L), not a time estimate. Phase order follows PRD section 14; steps are split so each can be built and tested on its own.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</si>
</sst>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9362F"/>
        <bgColor rgb="FF333300"/>
      </patternFill>
    </fill>
    <fill>
      <patternFill patternType="solid">
        <fgColor rgb="FFEFE8D8"/>
        <bgColor rgb="FFF6EBD6"/>
      </patternFill>
    </fill>
    <fill>
      <patternFill patternType="solid">
        <fgColor rgb="FFE3E8DB"/>
        <bgColor rgb="FFEFE8D8"/>
      </patternFill>
    </fill>
    <fill>
      <patternFill patternType="solid">
        <fgColor rgb="FFF1E3DF"/>
        <bgColor rgb="FFEFE8D8"/>
      </patternFill>
    </fill>
    <fill>
      <patternFill patternType="solid">
        <fgColor rgb="FFF6EBD6"/>
        <bgColor rgb="FFEFE8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0AE"/>
      </left>
      <right style="thin">
        <color rgb="FFC9C0AE"/>
      </right>
      <top style="thin">
        <color rgb="FFC9C0AE"/>
      </top>
      <bottom style="thin">
        <color rgb="FFC9C0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39362F"/>
          <bgColor rgb="FF000000"/>
        </patternFill>
      </fill>
    </dxf>
    <dxf>
      <fill>
        <patternFill patternType="solid">
          <fgColor rgb="FFE3E8DB"/>
          <bgColor rgb="FF000000"/>
        </patternFill>
      </fill>
    </dxf>
    <dxf>
      <fill>
        <patternFill patternType="solid">
          <fgColor rgb="FFEFE8D8"/>
          <bgColor rgb="FF000000"/>
        </patternFill>
      </fill>
    </dxf>
    <dxf>
      <fill>
        <patternFill patternType="solid">
          <fgColor rgb="FFF1E3DF"/>
          <bgColor rgb="FF000000"/>
        </patternFill>
      </fill>
    </dxf>
    <dxf>
      <fill>
        <patternFill patternType="solid">
          <fgColor rgb="FFF6EB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0AE"/>
      <rgbColor rgb="FF808080"/>
      <rgbColor rgb="FF9999FF"/>
      <rgbColor rgb="FF993366"/>
      <rgbColor rgb="FFF6EBD6"/>
      <rgbColor rgb="FFCCFFFF"/>
      <rgbColor rgb="FF660066"/>
      <rgbColor rgb="FFFF8080"/>
      <rgbColor rgb="FF0066CC"/>
      <rgbColor rgb="FFF1E3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8DB"/>
      <rgbColor rgb="FFEFE8D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936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6"/>
    <col collapsed="false" customWidth="true" hidden="false" outlineLevel="0" max="4" min="3" style="0" width="9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s">
        <v>6</v>
      </c>
      <c r="C2" s="3" t="n">
        <f aca="false">COUNTIF('Execution Plan'!$A:$A,A2)</f>
        <v>8</v>
      </c>
      <c r="D2" s="3" t="n">
        <f aca="false">COUNTIFS('Execution Plan'!$A:$A,A2,'Execution Plan'!$G:$G,"Done")</f>
        <v>0</v>
      </c>
      <c r="E2" s="4" t="n">
        <f aca="false">IF(C2=0,0,D2/C2)</f>
        <v>0</v>
      </c>
    </row>
    <row r="3" customFormat="false" ht="15" hidden="false" customHeight="false" outlineLevel="0" collapsed="false">
      <c r="A3" s="2" t="s">
        <v>7</v>
      </c>
      <c r="B3" s="3" t="s">
        <v>8</v>
      </c>
      <c r="C3" s="3" t="n">
        <f aca="false">COUNTIF('Execution Plan'!$A:$A,A3)</f>
        <v>9</v>
      </c>
      <c r="D3" s="3" t="n">
        <f aca="false">COUNTIFS('Execution Plan'!$A:$A,A3,'Execution Plan'!$G:$G,"Done")</f>
        <v>0</v>
      </c>
      <c r="E3" s="4" t="n">
        <f aca="false">IF(C3=0,0,D3/C3)</f>
        <v>0</v>
      </c>
    </row>
    <row r="4" customFormat="false" ht="15" hidden="false" customHeight="false" outlineLevel="0" collapsed="false">
      <c r="A4" s="2" t="s">
        <v>9</v>
      </c>
      <c r="B4" s="3" t="s">
        <v>10</v>
      </c>
      <c r="C4" s="3" t="n">
        <f aca="false">COUNTIF('Execution Plan'!$A:$A,A4)</f>
        <v>9</v>
      </c>
      <c r="D4" s="3" t="n">
        <f aca="false">COUNTIFS('Execution Plan'!$A:$A,A4,'Execution Plan'!$G:$G,"Done")</f>
        <v>0</v>
      </c>
      <c r="E4" s="4" t="n">
        <f aca="false">IF(C4=0,0,D4/C4)</f>
        <v>0</v>
      </c>
    </row>
    <row r="5" customFormat="false" ht="15" hidden="false" customHeight="false" outlineLevel="0" collapsed="false">
      <c r="A5" s="2" t="s">
        <v>11</v>
      </c>
      <c r="B5" s="3" t="s">
        <v>12</v>
      </c>
      <c r="C5" s="3" t="n">
        <f aca="false">COUNTIF('Execution Plan'!$A:$A,A5)</f>
        <v>7</v>
      </c>
      <c r="D5" s="3" t="n">
        <f aca="false">COUNTIFS('Execution Plan'!$A:$A,A5,'Execution Plan'!$G:$G,"Done")</f>
        <v>0</v>
      </c>
      <c r="E5" s="4" t="n">
        <f aca="false">IF(C5=0,0,D5/C5)</f>
        <v>0</v>
      </c>
    </row>
    <row r="6" customFormat="false" ht="15" hidden="false" customHeight="false" outlineLevel="0" collapsed="false">
      <c r="A6" s="2" t="s">
        <v>13</v>
      </c>
      <c r="B6" s="3" t="s">
        <v>14</v>
      </c>
      <c r="C6" s="3" t="n">
        <f aca="false">COUNTIF('Execution Plan'!$A:$A,A6)</f>
        <v>8</v>
      </c>
      <c r="D6" s="3" t="n">
        <f aca="false">COUNTIFS('Execution Plan'!$A:$A,A6,'Execution Plan'!$G:$G,"Done")</f>
        <v>0</v>
      </c>
      <c r="E6" s="4" t="n">
        <f aca="false">IF(C6=0,0,D6/C6)</f>
        <v>0</v>
      </c>
    </row>
    <row r="7" customFormat="false" ht="15" hidden="false" customHeight="false" outlineLevel="0" collapsed="false">
      <c r="A7" s="2" t="s">
        <v>15</v>
      </c>
      <c r="B7" s="3" t="s">
        <v>16</v>
      </c>
      <c r="C7" s="3" t="n">
        <f aca="false">COUNTIF('Execution Plan'!$A:$A,A7)</f>
        <v>6</v>
      </c>
      <c r="D7" s="3" t="n">
        <f aca="false">COUNTIFS('Execution Plan'!$A:$A,A7,'Execution Plan'!$G:$G,"Done")</f>
        <v>0</v>
      </c>
      <c r="E7" s="4" t="n">
        <f aca="false">IF(C7=0,0,D7/C7)</f>
        <v>0</v>
      </c>
    </row>
    <row r="8" customFormat="false" ht="15" hidden="false" customHeight="false" outlineLevel="0" collapsed="false">
      <c r="A8" s="2" t="s">
        <v>17</v>
      </c>
      <c r="B8" s="2"/>
      <c r="C8" s="2" t="n">
        <f aca="false">SUM(C2:C7)</f>
        <v>47</v>
      </c>
      <c r="D8" s="2" t="n">
        <f aca="false">SUM(D2:D7)</f>
        <v>0</v>
      </c>
      <c r="E8" s="5" t="n">
        <f aca="false">IF(C8=0,0,D8/C8)</f>
        <v>0</v>
      </c>
    </row>
    <row r="10" customFormat="false" ht="15" hidden="false" customHeight="false" outlineLevel="0" collapsed="false">
      <c r="A10" s="6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"/>
    <col collapsed="false" customWidth="true" hidden="false" outlineLevel="0" max="3" min="3" style="0" width="70"/>
    <col collapsed="false" customWidth="true" hidden="false" outlineLevel="0" max="4" min="4" style="0" width="52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7" t="s">
        <v>0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</row>
    <row r="2" customFormat="false" ht="23.85" hidden="false" customHeight="false" outlineLevel="0" collapsed="false">
      <c r="A2" s="8" t="s">
        <v>5</v>
      </c>
      <c r="B2" s="8" t="s">
        <v>25</v>
      </c>
      <c r="C2" s="9" t="s">
        <v>26</v>
      </c>
      <c r="D2" s="9" t="s">
        <v>27</v>
      </c>
      <c r="E2" s="9"/>
      <c r="F2" s="9" t="s">
        <v>28</v>
      </c>
      <c r="G2" s="9" t="s">
        <v>29</v>
      </c>
    </row>
    <row r="3" customFormat="false" ht="23.85" hidden="false" customHeight="false" outlineLevel="0" collapsed="false">
      <c r="A3" s="8" t="s">
        <v>5</v>
      </c>
      <c r="B3" s="8" t="s">
        <v>30</v>
      </c>
      <c r="C3" s="9" t="s">
        <v>31</v>
      </c>
      <c r="D3" s="9" t="s">
        <v>32</v>
      </c>
      <c r="E3" s="9" t="s">
        <v>25</v>
      </c>
      <c r="F3" s="9" t="s">
        <v>28</v>
      </c>
      <c r="G3" s="9" t="s">
        <v>29</v>
      </c>
    </row>
    <row r="4" customFormat="false" ht="23.85" hidden="false" customHeight="false" outlineLevel="0" collapsed="false">
      <c r="A4" s="8" t="s">
        <v>5</v>
      </c>
      <c r="B4" s="8" t="s">
        <v>33</v>
      </c>
      <c r="C4" s="9" t="s">
        <v>34</v>
      </c>
      <c r="D4" s="9" t="s">
        <v>35</v>
      </c>
      <c r="E4" s="9" t="s">
        <v>36</v>
      </c>
      <c r="F4" s="9" t="s">
        <v>37</v>
      </c>
      <c r="G4" s="9" t="s">
        <v>29</v>
      </c>
    </row>
    <row r="5" customFormat="false" ht="23.85" hidden="false" customHeight="false" outlineLevel="0" collapsed="false">
      <c r="A5" s="8" t="s">
        <v>5</v>
      </c>
      <c r="B5" s="8" t="s">
        <v>38</v>
      </c>
      <c r="C5" s="9" t="s">
        <v>39</v>
      </c>
      <c r="D5" s="9" t="s">
        <v>40</v>
      </c>
      <c r="E5" s="9" t="s">
        <v>30</v>
      </c>
      <c r="F5" s="9" t="s">
        <v>37</v>
      </c>
      <c r="G5" s="9" t="s">
        <v>29</v>
      </c>
    </row>
    <row r="6" customFormat="false" ht="15" hidden="false" customHeight="false" outlineLevel="0" collapsed="false">
      <c r="A6" s="8" t="s">
        <v>5</v>
      </c>
      <c r="B6" s="8" t="s">
        <v>41</v>
      </c>
      <c r="C6" s="9" t="s">
        <v>42</v>
      </c>
      <c r="D6" s="9" t="s">
        <v>43</v>
      </c>
      <c r="E6" s="9" t="s">
        <v>44</v>
      </c>
      <c r="F6" s="9" t="s">
        <v>37</v>
      </c>
      <c r="G6" s="9" t="s">
        <v>29</v>
      </c>
    </row>
    <row r="7" customFormat="false" ht="23.85" hidden="false" customHeight="false" outlineLevel="0" collapsed="false">
      <c r="A7" s="8" t="s">
        <v>5</v>
      </c>
      <c r="B7" s="8" t="s">
        <v>45</v>
      </c>
      <c r="C7" s="9" t="s">
        <v>46</v>
      </c>
      <c r="D7" s="9" t="s">
        <v>47</v>
      </c>
      <c r="E7" s="9" t="s">
        <v>25</v>
      </c>
      <c r="F7" s="9" t="s">
        <v>37</v>
      </c>
      <c r="G7" s="9" t="s">
        <v>29</v>
      </c>
    </row>
    <row r="8" customFormat="false" ht="23.85" hidden="false" customHeight="false" outlineLevel="0" collapsed="false">
      <c r="A8" s="8" t="s">
        <v>5</v>
      </c>
      <c r="B8" s="8" t="s">
        <v>48</v>
      </c>
      <c r="C8" s="9" t="s">
        <v>49</v>
      </c>
      <c r="D8" s="9" t="s">
        <v>50</v>
      </c>
      <c r="E8" s="9" t="s">
        <v>30</v>
      </c>
      <c r="F8" s="9" t="s">
        <v>37</v>
      </c>
      <c r="G8" s="9" t="s">
        <v>29</v>
      </c>
    </row>
    <row r="9" customFormat="false" ht="15" hidden="false" customHeight="false" outlineLevel="0" collapsed="false">
      <c r="A9" s="8" t="s">
        <v>5</v>
      </c>
      <c r="B9" s="8" t="s">
        <v>51</v>
      </c>
      <c r="C9" s="9" t="s">
        <v>52</v>
      </c>
      <c r="D9" s="9" t="s">
        <v>53</v>
      </c>
      <c r="E9" s="9" t="s">
        <v>54</v>
      </c>
      <c r="F9" s="9" t="s">
        <v>37</v>
      </c>
      <c r="G9" s="9" t="s">
        <v>29</v>
      </c>
    </row>
    <row r="10" customFormat="false" ht="15" hidden="false" customHeight="false" outlineLevel="0" collapsed="false">
      <c r="A10" s="10" t="s">
        <v>7</v>
      </c>
      <c r="B10" s="10" t="s">
        <v>55</v>
      </c>
      <c r="C10" s="11" t="s">
        <v>56</v>
      </c>
      <c r="D10" s="11" t="s">
        <v>57</v>
      </c>
      <c r="E10" s="11" t="s">
        <v>48</v>
      </c>
      <c r="F10" s="11" t="s">
        <v>37</v>
      </c>
      <c r="G10" s="11" t="s">
        <v>29</v>
      </c>
    </row>
    <row r="11" customFormat="false" ht="15" hidden="false" customHeight="false" outlineLevel="0" collapsed="false">
      <c r="A11" s="10" t="s">
        <v>7</v>
      </c>
      <c r="B11" s="10" t="s">
        <v>58</v>
      </c>
      <c r="C11" s="11" t="s">
        <v>59</v>
      </c>
      <c r="D11" s="11" t="s">
        <v>60</v>
      </c>
      <c r="E11" s="11" t="s">
        <v>55</v>
      </c>
      <c r="F11" s="11" t="s">
        <v>37</v>
      </c>
      <c r="G11" s="11" t="s">
        <v>29</v>
      </c>
    </row>
    <row r="12" customFormat="false" ht="15" hidden="false" customHeight="false" outlineLevel="0" collapsed="false">
      <c r="A12" s="10" t="s">
        <v>7</v>
      </c>
      <c r="B12" s="10" t="s">
        <v>61</v>
      </c>
      <c r="C12" s="11" t="s">
        <v>62</v>
      </c>
      <c r="D12" s="11" t="s">
        <v>63</v>
      </c>
      <c r="E12" s="11" t="s">
        <v>54</v>
      </c>
      <c r="F12" s="11" t="s">
        <v>37</v>
      </c>
      <c r="G12" s="11" t="s">
        <v>29</v>
      </c>
    </row>
    <row r="13" customFormat="false" ht="23.85" hidden="false" customHeight="false" outlineLevel="0" collapsed="false">
      <c r="A13" s="10" t="s">
        <v>7</v>
      </c>
      <c r="B13" s="10" t="s">
        <v>64</v>
      </c>
      <c r="C13" s="11" t="s">
        <v>65</v>
      </c>
      <c r="D13" s="11" t="s">
        <v>66</v>
      </c>
      <c r="E13" s="11" t="s">
        <v>61</v>
      </c>
      <c r="F13" s="11" t="s">
        <v>37</v>
      </c>
      <c r="G13" s="11" t="s">
        <v>29</v>
      </c>
    </row>
    <row r="14" customFormat="false" ht="23.85" hidden="false" customHeight="false" outlineLevel="0" collapsed="false">
      <c r="A14" s="10" t="s">
        <v>7</v>
      </c>
      <c r="B14" s="10" t="s">
        <v>67</v>
      </c>
      <c r="C14" s="11" t="s">
        <v>68</v>
      </c>
      <c r="D14" s="11" t="s">
        <v>69</v>
      </c>
      <c r="E14" s="11" t="s">
        <v>54</v>
      </c>
      <c r="F14" s="11" t="s">
        <v>37</v>
      </c>
      <c r="G14" s="11" t="s">
        <v>29</v>
      </c>
    </row>
    <row r="15" customFormat="false" ht="15" hidden="false" customHeight="false" outlineLevel="0" collapsed="false">
      <c r="A15" s="10" t="s">
        <v>7</v>
      </c>
      <c r="B15" s="10" t="s">
        <v>70</v>
      </c>
      <c r="C15" s="11" t="s">
        <v>71</v>
      </c>
      <c r="D15" s="11" t="s">
        <v>72</v>
      </c>
      <c r="E15" s="11" t="s">
        <v>67</v>
      </c>
      <c r="F15" s="11" t="s">
        <v>73</v>
      </c>
      <c r="G15" s="11" t="s">
        <v>29</v>
      </c>
    </row>
    <row r="16" customFormat="false" ht="15" hidden="false" customHeight="false" outlineLevel="0" collapsed="false">
      <c r="A16" s="10" t="s">
        <v>7</v>
      </c>
      <c r="B16" s="10" t="s">
        <v>74</v>
      </c>
      <c r="C16" s="11" t="s">
        <v>75</v>
      </c>
      <c r="D16" s="11" t="s">
        <v>76</v>
      </c>
      <c r="E16" s="11" t="s">
        <v>70</v>
      </c>
      <c r="F16" s="11" t="s">
        <v>28</v>
      </c>
      <c r="G16" s="11" t="s">
        <v>29</v>
      </c>
    </row>
    <row r="17" customFormat="false" ht="23.85" hidden="false" customHeight="false" outlineLevel="0" collapsed="false">
      <c r="A17" s="10" t="s">
        <v>7</v>
      </c>
      <c r="B17" s="10" t="s">
        <v>77</v>
      </c>
      <c r="C17" s="11" t="s">
        <v>78</v>
      </c>
      <c r="D17" s="11" t="s">
        <v>79</v>
      </c>
      <c r="E17" s="11" t="s">
        <v>70</v>
      </c>
      <c r="F17" s="11" t="s">
        <v>37</v>
      </c>
      <c r="G17" s="11" t="s">
        <v>29</v>
      </c>
    </row>
    <row r="18" customFormat="false" ht="15" hidden="false" customHeight="false" outlineLevel="0" collapsed="false">
      <c r="A18" s="10" t="s">
        <v>7</v>
      </c>
      <c r="B18" s="10" t="s">
        <v>80</v>
      </c>
      <c r="C18" s="11" t="s">
        <v>81</v>
      </c>
      <c r="D18" s="11" t="s">
        <v>82</v>
      </c>
      <c r="E18" s="11" t="s">
        <v>70</v>
      </c>
      <c r="F18" s="11" t="s">
        <v>28</v>
      </c>
      <c r="G18" s="11" t="s">
        <v>29</v>
      </c>
    </row>
    <row r="19" customFormat="false" ht="15" hidden="false" customHeight="false" outlineLevel="0" collapsed="false">
      <c r="A19" s="12" t="s">
        <v>9</v>
      </c>
      <c r="B19" s="12" t="s">
        <v>83</v>
      </c>
      <c r="C19" s="13" t="s">
        <v>84</v>
      </c>
      <c r="D19" s="13" t="s">
        <v>85</v>
      </c>
      <c r="E19" s="13" t="s">
        <v>41</v>
      </c>
      <c r="F19" s="13" t="s">
        <v>37</v>
      </c>
      <c r="G19" s="13" t="s">
        <v>29</v>
      </c>
    </row>
    <row r="20" customFormat="false" ht="15" hidden="false" customHeight="false" outlineLevel="0" collapsed="false">
      <c r="A20" s="12" t="s">
        <v>9</v>
      </c>
      <c r="B20" s="12" t="s">
        <v>86</v>
      </c>
      <c r="C20" s="13" t="s">
        <v>87</v>
      </c>
      <c r="D20" s="13" t="s">
        <v>88</v>
      </c>
      <c r="E20" s="13" t="s">
        <v>89</v>
      </c>
      <c r="F20" s="13" t="s">
        <v>37</v>
      </c>
      <c r="G20" s="13" t="s">
        <v>29</v>
      </c>
    </row>
    <row r="21" customFormat="false" ht="23.85" hidden="false" customHeight="false" outlineLevel="0" collapsed="false">
      <c r="A21" s="12" t="s">
        <v>9</v>
      </c>
      <c r="B21" s="12" t="s">
        <v>90</v>
      </c>
      <c r="C21" s="13" t="s">
        <v>91</v>
      </c>
      <c r="D21" s="13" t="s">
        <v>92</v>
      </c>
      <c r="E21" s="13" t="s">
        <v>38</v>
      </c>
      <c r="F21" s="13" t="s">
        <v>37</v>
      </c>
      <c r="G21" s="13" t="s">
        <v>29</v>
      </c>
    </row>
    <row r="22" customFormat="false" ht="15" hidden="false" customHeight="false" outlineLevel="0" collapsed="false">
      <c r="A22" s="12" t="s">
        <v>9</v>
      </c>
      <c r="B22" s="12" t="s">
        <v>93</v>
      </c>
      <c r="C22" s="13" t="s">
        <v>94</v>
      </c>
      <c r="D22" s="13" t="s">
        <v>95</v>
      </c>
      <c r="E22" s="13" t="s">
        <v>90</v>
      </c>
      <c r="F22" s="13" t="s">
        <v>73</v>
      </c>
      <c r="G22" s="13" t="s">
        <v>29</v>
      </c>
    </row>
    <row r="23" customFormat="false" ht="15" hidden="false" customHeight="false" outlineLevel="0" collapsed="false">
      <c r="A23" s="12" t="s">
        <v>9</v>
      </c>
      <c r="B23" s="12" t="s">
        <v>96</v>
      </c>
      <c r="C23" s="13" t="s">
        <v>97</v>
      </c>
      <c r="D23" s="13" t="s">
        <v>98</v>
      </c>
      <c r="E23" s="13" t="s">
        <v>90</v>
      </c>
      <c r="F23" s="13" t="s">
        <v>28</v>
      </c>
      <c r="G23" s="13" t="s">
        <v>29</v>
      </c>
    </row>
    <row r="24" customFormat="false" ht="15" hidden="false" customHeight="false" outlineLevel="0" collapsed="false">
      <c r="A24" s="12" t="s">
        <v>9</v>
      </c>
      <c r="B24" s="12" t="s">
        <v>99</v>
      </c>
      <c r="C24" s="13" t="s">
        <v>100</v>
      </c>
      <c r="D24" s="13" t="s">
        <v>101</v>
      </c>
      <c r="E24" s="13" t="s">
        <v>38</v>
      </c>
      <c r="F24" s="13" t="s">
        <v>37</v>
      </c>
      <c r="G24" s="13" t="s">
        <v>29</v>
      </c>
    </row>
    <row r="25" customFormat="false" ht="15" hidden="false" customHeight="false" outlineLevel="0" collapsed="false">
      <c r="A25" s="12" t="s">
        <v>9</v>
      </c>
      <c r="B25" s="12" t="s">
        <v>102</v>
      </c>
      <c r="C25" s="13" t="s">
        <v>103</v>
      </c>
      <c r="D25" s="13" t="s">
        <v>104</v>
      </c>
      <c r="E25" s="13" t="s">
        <v>99</v>
      </c>
      <c r="F25" s="13" t="s">
        <v>37</v>
      </c>
      <c r="G25" s="13" t="s">
        <v>29</v>
      </c>
    </row>
    <row r="26" customFormat="false" ht="23.85" hidden="false" customHeight="false" outlineLevel="0" collapsed="false">
      <c r="A26" s="12" t="s">
        <v>9</v>
      </c>
      <c r="B26" s="12" t="s">
        <v>105</v>
      </c>
      <c r="C26" s="13" t="s">
        <v>106</v>
      </c>
      <c r="D26" s="13" t="s">
        <v>107</v>
      </c>
      <c r="E26" s="13" t="s">
        <v>108</v>
      </c>
      <c r="F26" s="13" t="s">
        <v>37</v>
      </c>
      <c r="G26" s="13" t="s">
        <v>29</v>
      </c>
    </row>
    <row r="27" customFormat="false" ht="23.85" hidden="false" customHeight="false" outlineLevel="0" collapsed="false">
      <c r="A27" s="12" t="s">
        <v>9</v>
      </c>
      <c r="B27" s="12" t="s">
        <v>109</v>
      </c>
      <c r="C27" s="13" t="s">
        <v>110</v>
      </c>
      <c r="D27" s="13" t="s">
        <v>111</v>
      </c>
      <c r="E27" s="13" t="s">
        <v>105</v>
      </c>
      <c r="F27" s="13" t="s">
        <v>37</v>
      </c>
      <c r="G27" s="13" t="s">
        <v>29</v>
      </c>
    </row>
    <row r="28" customFormat="false" ht="23.85" hidden="false" customHeight="false" outlineLevel="0" collapsed="false">
      <c r="A28" s="14" t="s">
        <v>11</v>
      </c>
      <c r="B28" s="14" t="s">
        <v>112</v>
      </c>
      <c r="C28" s="15" t="s">
        <v>113</v>
      </c>
      <c r="D28" s="15" t="s">
        <v>114</v>
      </c>
      <c r="E28" s="15" t="s">
        <v>48</v>
      </c>
      <c r="F28" s="15" t="s">
        <v>37</v>
      </c>
      <c r="G28" s="15" t="s">
        <v>29</v>
      </c>
    </row>
    <row r="29" customFormat="false" ht="15" hidden="false" customHeight="false" outlineLevel="0" collapsed="false">
      <c r="A29" s="14" t="s">
        <v>11</v>
      </c>
      <c r="B29" s="14" t="s">
        <v>115</v>
      </c>
      <c r="C29" s="15" t="s">
        <v>116</v>
      </c>
      <c r="D29" s="15" t="s">
        <v>117</v>
      </c>
      <c r="E29" s="15" t="s">
        <v>112</v>
      </c>
      <c r="F29" s="15" t="s">
        <v>28</v>
      </c>
      <c r="G29" s="15" t="s">
        <v>29</v>
      </c>
    </row>
    <row r="30" customFormat="false" ht="15" hidden="false" customHeight="false" outlineLevel="0" collapsed="false">
      <c r="A30" s="14" t="s">
        <v>11</v>
      </c>
      <c r="B30" s="14" t="s">
        <v>118</v>
      </c>
      <c r="C30" s="15" t="s">
        <v>119</v>
      </c>
      <c r="D30" s="15" t="s">
        <v>120</v>
      </c>
      <c r="E30" s="15" t="s">
        <v>115</v>
      </c>
      <c r="F30" s="15" t="s">
        <v>73</v>
      </c>
      <c r="G30" s="15" t="s">
        <v>29</v>
      </c>
    </row>
    <row r="31" customFormat="false" ht="15" hidden="false" customHeight="false" outlineLevel="0" collapsed="false">
      <c r="A31" s="14" t="s">
        <v>11</v>
      </c>
      <c r="B31" s="14" t="s">
        <v>121</v>
      </c>
      <c r="C31" s="15" t="s">
        <v>122</v>
      </c>
      <c r="D31" s="15" t="s">
        <v>123</v>
      </c>
      <c r="E31" s="15" t="s">
        <v>118</v>
      </c>
      <c r="F31" s="15" t="s">
        <v>37</v>
      </c>
      <c r="G31" s="15" t="s">
        <v>29</v>
      </c>
    </row>
    <row r="32" customFormat="false" ht="23.85" hidden="false" customHeight="false" outlineLevel="0" collapsed="false">
      <c r="A32" s="14" t="s">
        <v>11</v>
      </c>
      <c r="B32" s="14" t="s">
        <v>124</v>
      </c>
      <c r="C32" s="15" t="s">
        <v>125</v>
      </c>
      <c r="D32" s="15" t="s">
        <v>126</v>
      </c>
      <c r="E32" s="15" t="s">
        <v>112</v>
      </c>
      <c r="F32" s="15" t="s">
        <v>37</v>
      </c>
      <c r="G32" s="15" t="s">
        <v>29</v>
      </c>
    </row>
    <row r="33" customFormat="false" ht="15" hidden="false" customHeight="false" outlineLevel="0" collapsed="false">
      <c r="A33" s="14" t="s">
        <v>11</v>
      </c>
      <c r="B33" s="14" t="s">
        <v>127</v>
      </c>
      <c r="C33" s="15" t="s">
        <v>128</v>
      </c>
      <c r="D33" s="15" t="s">
        <v>129</v>
      </c>
      <c r="E33" s="15" t="s">
        <v>124</v>
      </c>
      <c r="F33" s="15" t="s">
        <v>37</v>
      </c>
      <c r="G33" s="15" t="s">
        <v>29</v>
      </c>
    </row>
    <row r="34" customFormat="false" ht="15" hidden="false" customHeight="false" outlineLevel="0" collapsed="false">
      <c r="A34" s="14" t="s">
        <v>11</v>
      </c>
      <c r="B34" s="14" t="s">
        <v>130</v>
      </c>
      <c r="C34" s="15" t="s">
        <v>131</v>
      </c>
      <c r="D34" s="15" t="s">
        <v>132</v>
      </c>
      <c r="E34" s="15" t="s">
        <v>133</v>
      </c>
      <c r="F34" s="15" t="s">
        <v>28</v>
      </c>
      <c r="G34" s="15" t="s">
        <v>29</v>
      </c>
    </row>
    <row r="35" customFormat="false" ht="15" hidden="false" customHeight="false" outlineLevel="0" collapsed="false">
      <c r="A35" s="10" t="s">
        <v>13</v>
      </c>
      <c r="B35" s="10" t="s">
        <v>134</v>
      </c>
      <c r="C35" s="11" t="s">
        <v>135</v>
      </c>
      <c r="D35" s="11" t="s">
        <v>136</v>
      </c>
      <c r="E35" s="11" t="s">
        <v>38</v>
      </c>
      <c r="F35" s="11" t="s">
        <v>28</v>
      </c>
      <c r="G35" s="11" t="s">
        <v>29</v>
      </c>
    </row>
    <row r="36" customFormat="false" ht="15" hidden="false" customHeight="false" outlineLevel="0" collapsed="false">
      <c r="A36" s="10" t="s">
        <v>13</v>
      </c>
      <c r="B36" s="10" t="s">
        <v>137</v>
      </c>
      <c r="C36" s="11" t="s">
        <v>138</v>
      </c>
      <c r="D36" s="11" t="s">
        <v>139</v>
      </c>
      <c r="E36" s="11" t="s">
        <v>45</v>
      </c>
      <c r="F36" s="11" t="s">
        <v>73</v>
      </c>
      <c r="G36" s="11" t="s">
        <v>29</v>
      </c>
    </row>
    <row r="37" customFormat="false" ht="15" hidden="false" customHeight="false" outlineLevel="0" collapsed="false">
      <c r="A37" s="10" t="s">
        <v>13</v>
      </c>
      <c r="B37" s="10" t="s">
        <v>140</v>
      </c>
      <c r="C37" s="11" t="s">
        <v>141</v>
      </c>
      <c r="D37" s="11" t="s">
        <v>142</v>
      </c>
      <c r="E37" s="11" t="s">
        <v>134</v>
      </c>
      <c r="F37" s="11" t="s">
        <v>37</v>
      </c>
      <c r="G37" s="11" t="s">
        <v>29</v>
      </c>
    </row>
    <row r="38" customFormat="false" ht="23.85" hidden="false" customHeight="false" outlineLevel="0" collapsed="false">
      <c r="A38" s="10" t="s">
        <v>13</v>
      </c>
      <c r="B38" s="10" t="s">
        <v>143</v>
      </c>
      <c r="C38" s="11" t="s">
        <v>144</v>
      </c>
      <c r="D38" s="11" t="s">
        <v>145</v>
      </c>
      <c r="E38" s="11" t="s">
        <v>146</v>
      </c>
      <c r="F38" s="11" t="s">
        <v>73</v>
      </c>
      <c r="G38" s="11" t="s">
        <v>29</v>
      </c>
    </row>
    <row r="39" customFormat="false" ht="15" hidden="false" customHeight="false" outlineLevel="0" collapsed="false">
      <c r="A39" s="10" t="s">
        <v>13</v>
      </c>
      <c r="B39" s="10" t="s">
        <v>147</v>
      </c>
      <c r="C39" s="11" t="s">
        <v>148</v>
      </c>
      <c r="D39" s="11" t="s">
        <v>149</v>
      </c>
      <c r="E39" s="11" t="s">
        <v>150</v>
      </c>
      <c r="F39" s="11" t="s">
        <v>37</v>
      </c>
      <c r="G39" s="11" t="s">
        <v>29</v>
      </c>
    </row>
    <row r="40" customFormat="false" ht="15" hidden="false" customHeight="false" outlineLevel="0" collapsed="false">
      <c r="A40" s="10" t="s">
        <v>13</v>
      </c>
      <c r="B40" s="10" t="s">
        <v>151</v>
      </c>
      <c r="C40" s="11" t="s">
        <v>152</v>
      </c>
      <c r="D40" s="11" t="s">
        <v>153</v>
      </c>
      <c r="E40" s="11" t="s">
        <v>154</v>
      </c>
      <c r="F40" s="11" t="s">
        <v>37</v>
      </c>
      <c r="G40" s="11" t="s">
        <v>29</v>
      </c>
    </row>
    <row r="41" customFormat="false" ht="15" hidden="false" customHeight="false" outlineLevel="0" collapsed="false">
      <c r="A41" s="10" t="s">
        <v>13</v>
      </c>
      <c r="B41" s="10" t="s">
        <v>155</v>
      </c>
      <c r="C41" s="11" t="s">
        <v>156</v>
      </c>
      <c r="D41" s="11" t="s">
        <v>157</v>
      </c>
      <c r="E41" s="11" t="s">
        <v>137</v>
      </c>
      <c r="F41" s="11" t="s">
        <v>28</v>
      </c>
      <c r="G41" s="11" t="s">
        <v>29</v>
      </c>
    </row>
    <row r="42" customFormat="false" ht="15" hidden="false" customHeight="false" outlineLevel="0" collapsed="false">
      <c r="A42" s="10" t="s">
        <v>13</v>
      </c>
      <c r="B42" s="10" t="s">
        <v>158</v>
      </c>
      <c r="C42" s="11" t="s">
        <v>159</v>
      </c>
      <c r="D42" s="11" t="s">
        <v>160</v>
      </c>
      <c r="E42" s="11" t="s">
        <v>137</v>
      </c>
      <c r="F42" s="11" t="s">
        <v>37</v>
      </c>
      <c r="G42" s="11" t="s">
        <v>29</v>
      </c>
    </row>
    <row r="43" customFormat="false" ht="15" hidden="false" customHeight="false" outlineLevel="0" collapsed="false">
      <c r="A43" s="8" t="s">
        <v>15</v>
      </c>
      <c r="B43" s="8" t="s">
        <v>161</v>
      </c>
      <c r="C43" s="9" t="s">
        <v>162</v>
      </c>
      <c r="D43" s="9" t="s">
        <v>163</v>
      </c>
      <c r="E43" s="9" t="s">
        <v>164</v>
      </c>
      <c r="F43" s="9" t="s">
        <v>37</v>
      </c>
      <c r="G43" s="9" t="s">
        <v>29</v>
      </c>
    </row>
    <row r="44" customFormat="false" ht="15" hidden="false" customHeight="false" outlineLevel="0" collapsed="false">
      <c r="A44" s="8" t="s">
        <v>15</v>
      </c>
      <c r="B44" s="8" t="s">
        <v>165</v>
      </c>
      <c r="C44" s="9" t="s">
        <v>166</v>
      </c>
      <c r="D44" s="9" t="s">
        <v>167</v>
      </c>
      <c r="E44" s="9" t="s">
        <v>168</v>
      </c>
      <c r="F44" s="9" t="s">
        <v>37</v>
      </c>
      <c r="G44" s="9" t="s">
        <v>29</v>
      </c>
    </row>
    <row r="45" customFormat="false" ht="15" hidden="false" customHeight="false" outlineLevel="0" collapsed="false">
      <c r="A45" s="8" t="s">
        <v>15</v>
      </c>
      <c r="B45" s="8" t="s">
        <v>169</v>
      </c>
      <c r="C45" s="9" t="s">
        <v>170</v>
      </c>
      <c r="D45" s="9" t="s">
        <v>171</v>
      </c>
      <c r="E45" s="9" t="s">
        <v>164</v>
      </c>
      <c r="F45" s="9" t="s">
        <v>73</v>
      </c>
      <c r="G45" s="9" t="s">
        <v>29</v>
      </c>
    </row>
    <row r="46" customFormat="false" ht="15" hidden="false" customHeight="false" outlineLevel="0" collapsed="false">
      <c r="A46" s="8" t="s">
        <v>15</v>
      </c>
      <c r="B46" s="8" t="s">
        <v>172</v>
      </c>
      <c r="C46" s="9" t="s">
        <v>173</v>
      </c>
      <c r="D46" s="9" t="s">
        <v>174</v>
      </c>
      <c r="E46" s="9" t="s">
        <v>164</v>
      </c>
      <c r="F46" s="9" t="s">
        <v>37</v>
      </c>
      <c r="G46" s="9" t="s">
        <v>29</v>
      </c>
    </row>
    <row r="47" customFormat="false" ht="15" hidden="false" customHeight="false" outlineLevel="0" collapsed="false">
      <c r="A47" s="8" t="s">
        <v>15</v>
      </c>
      <c r="B47" s="8" t="s">
        <v>175</v>
      </c>
      <c r="C47" s="9" t="s">
        <v>176</v>
      </c>
      <c r="D47" s="9" t="s">
        <v>177</v>
      </c>
      <c r="E47" s="9" t="s">
        <v>178</v>
      </c>
      <c r="F47" s="9" t="s">
        <v>37</v>
      </c>
      <c r="G47" s="9" t="s">
        <v>29</v>
      </c>
    </row>
    <row r="48" customFormat="false" ht="15" hidden="false" customHeight="false" outlineLevel="0" collapsed="false">
      <c r="A48" s="8" t="s">
        <v>15</v>
      </c>
      <c r="B48" s="8" t="s">
        <v>179</v>
      </c>
      <c r="C48" s="9" t="s">
        <v>180</v>
      </c>
      <c r="D48" s="9" t="s">
        <v>181</v>
      </c>
      <c r="E48" s="9" t="s">
        <v>175</v>
      </c>
      <c r="F48" s="9" t="s">
        <v>28</v>
      </c>
      <c r="G48" s="9" t="s">
        <v>29</v>
      </c>
    </row>
    <row r="50" customFormat="false" ht="15" hidden="false" customHeight="false" outlineLevel="0" collapsed="false">
      <c r="A50" s="6" t="s">
        <v>182</v>
      </c>
    </row>
  </sheetData>
  <autoFilter ref="A1:G48"/>
  <dataValidations count="2">
    <dataValidation allowBlank="false" errorStyle="stop" operator="between" showDropDown="false" showErrorMessage="false" showInputMessage="false" sqref="G2:G48" type="list">
      <formula1>"Not started,In progress,Done,Blocked"</formula1>
      <formula2>0</formula2>
    </dataValidation>
    <dataValidation allowBlank="false" errorStyle="stop" operator="between" showDropDown="false" showErrorMessage="false" showInputMessage="false" sqref="F2:F48" type="list">
      <formula1>"S,M,L"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2026-10-19T18:59:31Z</dcterms:created>
  <dc:creator>openpyxl</dc:creator>
  <dc:description/>
  <dc:language>en-US</dc:language>
  <cp:lastModifiedBy/>
  <dcterms:modified xsi:type="dcterms:W3CDTF">2026-10-19T18:59:31Z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